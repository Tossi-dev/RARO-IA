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clo de caix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<sst xmlns="http://schemas.openxmlformats.org/spreadsheetml/2006/main" count="24" uniqueCount="24">
  <si>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Ciclo de caixa em três linhas</t>
  </si>
  <si>
    <t xml:space="preserve">Tema 27 · Governo das 6 · Se der positivo, você está financiando o seu cliente com o seu dinheiro.</t>
  </si>
  <si>
    <t xml:space="preserve">Preencha só as células amareladas (texto azul). O resto é fórmula e se calcula sozinho.</t>
  </si>
  <si>
    <t xml:space="preserve">Linha</t>
  </si>
  <si>
    <t xml:space="preserve">Dias</t>
  </si>
  <si>
    <t xml:space="preserve">Como achar</t>
  </si>
  <si>
    <t xml:space="preserve">Prazo médio que você RECEBE do cliente</t>
  </si>
  <si>
    <t xml:space="preserve">Contas a receber ÷ faturamento do mês × 30</t>
  </si>
  <si>
    <t xml:space="preserve">Prazo médio de ESTOQUE parado</t>
  </si>
  <si>
    <t xml:space="preserve">Estoque ÷ custo das vendas do mês × 30. Serviço puro: 0</t>
  </si>
  <si>
    <t xml:space="preserve">Prazo médio que você PAGA o fornecedor</t>
  </si>
  <si>
    <t xml:space="preserve">Contas a pagar ÷ compras do mês × 30</t>
  </si>
  <si>
    <t xml:space="preserve">CICLO DE CAIXA</t>
  </si>
  <si>
    <t xml:space="preserve">Recebe + estoque − paga</t>
  </si>
  <si>
    <t xml:space="preserve">Faturamento do mês</t>
  </si>
  <si>
    <t xml:space="preserve">Custo do dinheiro ao mês (juros que você paga ou deixa de ganhar)</t>
  </si>
  <si>
    <t xml:space="preserve">Dinheiro seu preso no ciclo</t>
  </si>
  <si>
    <t xml:space="preserve">Quanto esse ciclo te custa por mês</t>
  </si>
  <si>
    <t xml:space="preserve">Por ano</t>
  </si>
  <si>
    <t xml:space="preserve">Três alavancas, na ordem do mais fácil para o mais difícil:</t>
  </si>
  <si>
    <t xml:space="preserve">1. Negociar prazo com fornecedor (aumenta a linha 8) — não custa nada e ninguém pede.</t>
  </si>
  <si>
    <t xml:space="preserve">2. Reduzir estoque parado (linha 7).</t>
  </si>
  <si>
    <t xml:space="preserve">3. Encurtar o prazo do cliente (linha 6) — o mais caro politicamente, deixe por último.</t>
  </si>
  <si>
    <t xml:space="preserve">Cada dia a menos no ciclo libera o valor de B12/30 de caixa, uma vez só e para sempre.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</si>
</sst>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&quot; dias&quot;"/>
    <numFmt numFmtId="166" formatCode="&quot;R$ &quot;#,##0.00;[RED]&quot;(R$ &quot;#,##0.00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n">
        <v>42</v>
      </c>
      <c r="C6" s="2" t="s">
        <v>7</v>
      </c>
    </row>
    <row r="7" customFormat="false" ht="15" hidden="false" customHeight="false" outlineLevel="0" collapsed="false">
      <c r="A7" s="4" t="s">
        <v>8</v>
      </c>
      <c r="B7" s="5" t="n">
        <v>18</v>
      </c>
      <c r="C7" s="2" t="s">
        <v>9</v>
      </c>
    </row>
    <row r="8" customFormat="false" ht="15" hidden="false" customHeight="false" outlineLevel="0" collapsed="false">
      <c r="A8" s="4" t="s">
        <v>10</v>
      </c>
      <c r="B8" s="5" t="n">
        <v>21</v>
      </c>
      <c r="C8" s="2" t="s">
        <v>11</v>
      </c>
    </row>
    <row r="10" customFormat="false" ht="15" hidden="false" customHeight="false" outlineLevel="0" collapsed="false">
      <c r="A10" s="6" t="s">
        <v>12</v>
      </c>
      <c r="B10" s="7" t="n">
        <f aca="false">B6+B7-B8</f>
        <v>39</v>
      </c>
      <c r="C10" s="2" t="s">
        <v>13</v>
      </c>
    </row>
    <row r="12" customFormat="false" ht="15" hidden="false" customHeight="false" outlineLevel="0" collapsed="false">
      <c r="A12" s="4" t="s">
        <v>14</v>
      </c>
      <c r="B12" s="8" t="n">
        <v>350000</v>
      </c>
    </row>
    <row r="13" customFormat="false" ht="15" hidden="false" customHeight="false" outlineLevel="0" collapsed="false">
      <c r="A13" s="4" t="s">
        <v>15</v>
      </c>
      <c r="B13" s="9" t="n">
        <v>0.018</v>
      </c>
    </row>
    <row r="15" customFormat="false" ht="15" hidden="false" customHeight="false" outlineLevel="0" collapsed="false">
      <c r="A15" s="6" t="s">
        <v>16</v>
      </c>
      <c r="B15" s="10" t="n">
        <f aca="false">B12/30*B10</f>
        <v>455000</v>
      </c>
    </row>
    <row r="16" customFormat="false" ht="15" hidden="false" customHeight="false" outlineLevel="0" collapsed="false">
      <c r="A16" s="6" t="s">
        <v>17</v>
      </c>
      <c r="B16" s="10" t="n">
        <f aca="false">B15*B13</f>
        <v>8190</v>
      </c>
    </row>
    <row r="17" customFormat="false" ht="15" hidden="false" customHeight="false" outlineLevel="0" collapsed="false">
      <c r="A17" s="6" t="s">
        <v>18</v>
      </c>
      <c r="B17" s="10" t="n">
        <f aca="false">B16*12</f>
        <v>98280</v>
      </c>
    </row>
    <row r="19" customFormat="false" ht="15" hidden="false" customHeight="false" outlineLevel="0" collapsed="false">
      <c r="A19" s="2" t="s">
        <v>19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2" t="s">
        <v>21</v>
      </c>
    </row>
    <row r="22" customFormat="false" ht="15" hidden="false" customHeight="false" outlineLevel="0" collapsed="false">
      <c r="A22" s="2" t="s">
        <v>22</v>
      </c>
    </row>
    <row r="23" customFormat="false" ht="15" hidden="false" customHeight="false" outlineLevel="0" collapsed="false">
      <c r="A23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2026-08-13T13:48:17Z</dcterms:created>
  <dc:creator>openpyxl</dc:creator>
  <dc:description/>
  <dc:language>en-US</dc:language>
  <cp:lastModifiedBy/>
  <dcterms:modified xsi:type="dcterms:W3CDTF">2026-08-13T13:48:17Z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