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rgem por serviç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<sst xmlns="http://schemas.openxmlformats.org/spreadsheetml/2006/main" count="19" uniqueCount="19">
  <si>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Margem por serviço — qual deles trabalha de graça</t>
  </si>
  <si>
    <t xml:space="preserve">Tema 25 · Governo das 6 · O serviço que você mais vende pode ser o que paga para trabalhar.</t>
  </si>
  <si>
    <t xml:space="preserve">Preencha só as células amareladas (texto azul). O resto é fórmula e se calcula sozinho.</t>
  </si>
  <si>
    <t xml:space="preserve">Custo da hora técnica (folha + encargos ÷ horas produtivas do mês)</t>
  </si>
  <si>
    <t xml:space="preserve">Se não souber, use a planilha 'custo-de-contratacao' e divida o custo mensal do técnico por 160 horas.</t>
  </si>
  <si>
    <t xml:space="preserve">Serviço</t>
  </si>
  <si>
    <t xml:space="preserve">Preço de venda</t>
  </si>
  <si>
    <t xml:space="preserve">Material e insumo</t>
  </si>
  <si>
    <t xml:space="preserve">Horas técnicas</t>
  </si>
  <si>
    <t xml:space="preserve">Mão de obra</t>
  </si>
  <si>
    <t xml:space="preserve">Custo total</t>
  </si>
  <si>
    <t xml:space="preserve">Margem R$</t>
  </si>
  <si>
    <t xml:space="preserve">Margem %</t>
  </si>
  <si>
    <t xml:space="preserve">Vendas/mês</t>
  </si>
  <si>
    <t xml:space="preserve">EXEMPLO — Manutenção preventiva mensal</t>
  </si>
  <si>
    <t xml:space="preserve">TOTAL DO MÊS</t>
  </si>
  <si>
    <t xml:space="preserve">Como ler: ordene pela coluna Margem %. O serviço no fim da lista com muitas vendas/mês é o que</t>
  </si>
  <si>
    <t xml:space="preserve">está consumindo a sua empresa. Margem negativa significa que cada venda desse serviço custa dinheiro.</t>
  </si>
  <si>
    <t xml:space="preserve">Premissa: 160 horas produtivas por técnico/mês. Ajuste em B5 se a sua realidade for outra.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</si>
</sst>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&quot;R$ &quot;#,##0.00;[RED]&quot;(R$ &quot;#,##0.00\);\-"/>
    <numFmt numFmtId="166" formatCode="0.0"/>
    <numFmt numFmtId="167" formatCode="0.0%"/>
    <numFmt numFmtId="168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1F3864"/>
        <bgColor rgb="FF333333"/>
      </patternFill>
    </fill>
    <fill>
      <patternFill patternType="solid">
        <fgColor rgb="FFE2EFDA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4"/>
    <col collapsed="false" customWidth="true" hidden="false" outlineLevel="0" max="4" min="4" style="0" width="10"/>
    <col collapsed="false" customWidth="true" hidden="false" outlineLevel="0" max="8" min="5" style="0" width="14"/>
    <col collapsed="false" customWidth="true" hidden="false" outlineLevel="0" max="9" min="9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4" t="n">
        <v>68</v>
      </c>
    </row>
    <row r="6" customFormat="false" ht="15" hidden="false" customHeight="false" outlineLevel="0" collapsed="false">
      <c r="A6" s="2" t="s">
        <v>4</v>
      </c>
    </row>
    <row r="8" customFormat="false" ht="30" hidden="false" customHeight="true" outlineLevel="0" collapsed="false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5" t="s">
        <v>12</v>
      </c>
      <c r="I8" s="5" t="s">
        <v>13</v>
      </c>
    </row>
    <row r="9" customFormat="false" ht="15" hidden="false" customHeight="false" outlineLevel="0" collapsed="false">
      <c r="A9" s="6" t="s">
        <v>14</v>
      </c>
      <c r="B9" s="4" t="n">
        <v>1800</v>
      </c>
      <c r="C9" s="4" t="n">
        <v>320</v>
      </c>
      <c r="D9" s="7" t="n">
        <v>9</v>
      </c>
      <c r="E9" s="8" t="n">
        <f aca="false">IF(D9="","",D9*$B$5)</f>
        <v>612</v>
      </c>
      <c r="F9" s="8" t="n">
        <f aca="false">IF(B9="","",C9+E9)</f>
        <v>932</v>
      </c>
      <c r="G9" s="8" t="n">
        <f aca="false">IF(B9="","",B9-F9)</f>
        <v>868</v>
      </c>
      <c r="H9" s="9" t="n">
        <f aca="false">IF(B9="","",IFERROR(G9/B9,0))</f>
        <v>0.482222222222222</v>
      </c>
      <c r="I9" s="10" t="n">
        <v>12</v>
      </c>
    </row>
    <row r="10" customFormat="false" ht="15" hidden="false" customHeight="false" outlineLevel="0" collapsed="false">
      <c r="A10" s="6"/>
      <c r="B10" s="4"/>
      <c r="C10" s="4"/>
      <c r="D10" s="7"/>
      <c r="E10" s="8" t="str">
        <f aca="false">IF(D10="","",D10*$B$5)</f>
        <v/>
      </c>
      <c r="F10" s="8" t="str">
        <f aca="false">IF(B10="","",C10+E10)</f>
        <v/>
      </c>
      <c r="G10" s="8" t="str">
        <f aca="false">IF(B10="","",B10-F10)</f>
        <v/>
      </c>
      <c r="H10" s="9" t="str">
        <f aca="false">IF(B10="","",IFERROR(G10/B10,0))</f>
        <v/>
      </c>
      <c r="I10" s="10"/>
    </row>
    <row r="11" customFormat="false" ht="15" hidden="false" customHeight="false" outlineLevel="0" collapsed="false">
      <c r="A11" s="6"/>
      <c r="B11" s="4"/>
      <c r="C11" s="4"/>
      <c r="D11" s="7"/>
      <c r="E11" s="8" t="str">
        <f aca="false">IF(D11="","",D11*$B$5)</f>
        <v/>
      </c>
      <c r="F11" s="8" t="str">
        <f aca="false">IF(B11="","",C11+E11)</f>
        <v/>
      </c>
      <c r="G11" s="8" t="str">
        <f aca="false">IF(B11="","",B11-F11)</f>
        <v/>
      </c>
      <c r="H11" s="9" t="str">
        <f aca="false">IF(B11="","",IFERROR(G11/B11,0))</f>
        <v/>
      </c>
      <c r="I11" s="10"/>
    </row>
    <row r="12" customFormat="false" ht="15" hidden="false" customHeight="false" outlineLevel="0" collapsed="false">
      <c r="A12" s="6"/>
      <c r="B12" s="4"/>
      <c r="C12" s="4"/>
      <c r="D12" s="7"/>
      <c r="E12" s="8" t="str">
        <f aca="false">IF(D12="","",D12*$B$5)</f>
        <v/>
      </c>
      <c r="F12" s="8" t="str">
        <f aca="false">IF(B12="","",C12+E12)</f>
        <v/>
      </c>
      <c r="G12" s="8" t="str">
        <f aca="false">IF(B12="","",B12-F12)</f>
        <v/>
      </c>
      <c r="H12" s="9" t="str">
        <f aca="false">IF(B12="","",IFERROR(G12/B12,0))</f>
        <v/>
      </c>
      <c r="I12" s="10"/>
    </row>
    <row r="13" customFormat="false" ht="15" hidden="false" customHeight="false" outlineLevel="0" collapsed="false">
      <c r="A13" s="6"/>
      <c r="B13" s="4"/>
      <c r="C13" s="4"/>
      <c r="D13" s="7"/>
      <c r="E13" s="8" t="str">
        <f aca="false">IF(D13="","",D13*$B$5)</f>
        <v/>
      </c>
      <c r="F13" s="8" t="str">
        <f aca="false">IF(B13="","",C13+E13)</f>
        <v/>
      </c>
      <c r="G13" s="8" t="str">
        <f aca="false">IF(B13="","",B13-F13)</f>
        <v/>
      </c>
      <c r="H13" s="9" t="str">
        <f aca="false">IF(B13="","",IFERROR(G13/B13,0))</f>
        <v/>
      </c>
      <c r="I13" s="10"/>
    </row>
    <row r="14" customFormat="false" ht="15" hidden="false" customHeight="false" outlineLevel="0" collapsed="false">
      <c r="A14" s="6"/>
      <c r="B14" s="4"/>
      <c r="C14" s="4"/>
      <c r="D14" s="7"/>
      <c r="E14" s="8" t="str">
        <f aca="false">IF(D14="","",D14*$B$5)</f>
        <v/>
      </c>
      <c r="F14" s="8" t="str">
        <f aca="false">IF(B14="","",C14+E14)</f>
        <v/>
      </c>
      <c r="G14" s="8" t="str">
        <f aca="false">IF(B14="","",B14-F14)</f>
        <v/>
      </c>
      <c r="H14" s="9" t="str">
        <f aca="false">IF(B14="","",IFERROR(G14/B14,0))</f>
        <v/>
      </c>
      <c r="I14" s="10"/>
    </row>
    <row r="15" customFormat="false" ht="15" hidden="false" customHeight="false" outlineLevel="0" collapsed="false">
      <c r="A15" s="6"/>
      <c r="B15" s="4"/>
      <c r="C15" s="4"/>
      <c r="D15" s="7"/>
      <c r="E15" s="8" t="str">
        <f aca="false">IF(D15="","",D15*$B$5)</f>
        <v/>
      </c>
      <c r="F15" s="8" t="str">
        <f aca="false">IF(B15="","",C15+E15)</f>
        <v/>
      </c>
      <c r="G15" s="8" t="str">
        <f aca="false">IF(B15="","",B15-F15)</f>
        <v/>
      </c>
      <c r="H15" s="9" t="str">
        <f aca="false">IF(B15="","",IFERROR(G15/B15,0))</f>
        <v/>
      </c>
      <c r="I15" s="10"/>
    </row>
    <row r="16" customFormat="false" ht="15" hidden="false" customHeight="false" outlineLevel="0" collapsed="false">
      <c r="A16" s="6"/>
      <c r="B16" s="4"/>
      <c r="C16" s="4"/>
      <c r="D16" s="7"/>
      <c r="E16" s="8" t="str">
        <f aca="false">IF(D16="","",D16*$B$5)</f>
        <v/>
      </c>
      <c r="F16" s="8" t="str">
        <f aca="false">IF(B16="","",C16+E16)</f>
        <v/>
      </c>
      <c r="G16" s="8" t="str">
        <f aca="false">IF(B16="","",B16-F16)</f>
        <v/>
      </c>
      <c r="H16" s="9" t="str">
        <f aca="false">IF(B16="","",IFERROR(G16/B16,0))</f>
        <v/>
      </c>
      <c r="I16" s="10"/>
    </row>
    <row r="17" customFormat="false" ht="15" hidden="false" customHeight="false" outlineLevel="0" collapsed="false">
      <c r="A17" s="6"/>
      <c r="B17" s="4"/>
      <c r="C17" s="4"/>
      <c r="D17" s="7"/>
      <c r="E17" s="8" t="str">
        <f aca="false">IF(D17="","",D17*$B$5)</f>
        <v/>
      </c>
      <c r="F17" s="8" t="str">
        <f aca="false">IF(B17="","",C17+E17)</f>
        <v/>
      </c>
      <c r="G17" s="8" t="str">
        <f aca="false">IF(B17="","",B17-F17)</f>
        <v/>
      </c>
      <c r="H17" s="9" t="str">
        <f aca="false">IF(B17="","",IFERROR(G17/B17,0))</f>
        <v/>
      </c>
      <c r="I17" s="10"/>
    </row>
    <row r="18" customFormat="false" ht="15" hidden="false" customHeight="false" outlineLevel="0" collapsed="false">
      <c r="A18" s="6"/>
      <c r="B18" s="4"/>
      <c r="C18" s="4"/>
      <c r="D18" s="7"/>
      <c r="E18" s="8" t="str">
        <f aca="false">IF(D18="","",D18*$B$5)</f>
        <v/>
      </c>
      <c r="F18" s="8" t="str">
        <f aca="false">IF(B18="","",C18+E18)</f>
        <v/>
      </c>
      <c r="G18" s="8" t="str">
        <f aca="false">IF(B18="","",B18-F18)</f>
        <v/>
      </c>
      <c r="H18" s="9" t="str">
        <f aca="false">IF(B18="","",IFERROR(G18/B18,0))</f>
        <v/>
      </c>
      <c r="I18" s="10"/>
    </row>
    <row r="19" customFormat="false" ht="15" hidden="false" customHeight="false" outlineLevel="0" collapsed="false">
      <c r="A19" s="6"/>
      <c r="B19" s="4"/>
      <c r="C19" s="4"/>
      <c r="D19" s="7"/>
      <c r="E19" s="8" t="str">
        <f aca="false">IF(D19="","",D19*$B$5)</f>
        <v/>
      </c>
      <c r="F19" s="8" t="str">
        <f aca="false">IF(B19="","",C19+E19)</f>
        <v/>
      </c>
      <c r="G19" s="8" t="str">
        <f aca="false">IF(B19="","",B19-F19)</f>
        <v/>
      </c>
      <c r="H19" s="9" t="str">
        <f aca="false">IF(B19="","",IFERROR(G19/B19,0))</f>
        <v/>
      </c>
      <c r="I19" s="10"/>
    </row>
    <row r="20" customFormat="false" ht="15" hidden="false" customHeight="false" outlineLevel="0" collapsed="false">
      <c r="A20" s="6"/>
      <c r="B20" s="4"/>
      <c r="C20" s="4"/>
      <c r="D20" s="7"/>
      <c r="E20" s="8" t="str">
        <f aca="false">IF(D20="","",D20*$B$5)</f>
        <v/>
      </c>
      <c r="F20" s="8" t="str">
        <f aca="false">IF(B20="","",C20+E20)</f>
        <v/>
      </c>
      <c r="G20" s="8" t="str">
        <f aca="false">IF(B20="","",B20-F20)</f>
        <v/>
      </c>
      <c r="H20" s="9" t="str">
        <f aca="false">IF(B20="","",IFERROR(G20/B20,0))</f>
        <v/>
      </c>
      <c r="I20" s="10"/>
    </row>
    <row r="21" customFormat="false" ht="15" hidden="false" customHeight="false" outlineLevel="0" collapsed="false">
      <c r="A21" s="6"/>
      <c r="B21" s="4"/>
      <c r="C21" s="4"/>
      <c r="D21" s="7"/>
      <c r="E21" s="8" t="str">
        <f aca="false">IF(D21="","",D21*$B$5)</f>
        <v/>
      </c>
      <c r="F21" s="8" t="str">
        <f aca="false">IF(B21="","",C21+E21)</f>
        <v/>
      </c>
      <c r="G21" s="8" t="str">
        <f aca="false">IF(B21="","",B21-F21)</f>
        <v/>
      </c>
      <c r="H21" s="9" t="str">
        <f aca="false">IF(B21="","",IFERROR(G21/B21,0))</f>
        <v/>
      </c>
      <c r="I21" s="10"/>
    </row>
    <row r="22" customFormat="false" ht="15" hidden="false" customHeight="false" outlineLevel="0" collapsed="false">
      <c r="A22" s="6"/>
      <c r="B22" s="4"/>
      <c r="C22" s="4"/>
      <c r="D22" s="7"/>
      <c r="E22" s="8" t="str">
        <f aca="false">IF(D22="","",D22*$B$5)</f>
        <v/>
      </c>
      <c r="F22" s="8" t="str">
        <f aca="false">IF(B22="","",C22+E22)</f>
        <v/>
      </c>
      <c r="G22" s="8" t="str">
        <f aca="false">IF(B22="","",B22-F22)</f>
        <v/>
      </c>
      <c r="H22" s="9" t="str">
        <f aca="false">IF(B22="","",IFERROR(G22/B22,0))</f>
        <v/>
      </c>
      <c r="I22" s="10"/>
    </row>
    <row r="23" customFormat="false" ht="15" hidden="false" customHeight="false" outlineLevel="0" collapsed="false">
      <c r="A23" s="6"/>
      <c r="B23" s="4"/>
      <c r="C23" s="4"/>
      <c r="D23" s="7"/>
      <c r="E23" s="8" t="str">
        <f aca="false">IF(D23="","",D23*$B$5)</f>
        <v/>
      </c>
      <c r="F23" s="8" t="str">
        <f aca="false">IF(B23="","",C23+E23)</f>
        <v/>
      </c>
      <c r="G23" s="8" t="str">
        <f aca="false">IF(B23="","",B23-F23)</f>
        <v/>
      </c>
      <c r="H23" s="9" t="str">
        <f aca="false">IF(B23="","",IFERROR(G23/B23,0))</f>
        <v/>
      </c>
      <c r="I23" s="10"/>
    </row>
    <row r="25" customFormat="false" ht="15" hidden="false" customHeight="false" outlineLevel="0" collapsed="false">
      <c r="A25" s="3" t="s">
        <v>15</v>
      </c>
      <c r="B25" s="11" t="n">
        <f aca="false">SUMPRODUCT(B9:B23,I9:I23)</f>
        <v>21600</v>
      </c>
      <c r="F25" s="11" t="n">
        <f aca="false">SUMPRODUCT(F9:F23,I9:I23)</f>
        <v>11184</v>
      </c>
      <c r="G25" s="11" t="n">
        <f aca="false">B25-F25</f>
        <v>10416</v>
      </c>
      <c r="H25" s="12" t="n">
        <f aca="false">IFERROR(G25/B25,0)</f>
        <v>0.482222222222222</v>
      </c>
    </row>
    <row r="27" customFormat="false" ht="15" hidden="false" customHeight="false" outlineLevel="0" collapsed="false">
      <c r="A27" s="2" t="s">
        <v>16</v>
      </c>
    </row>
    <row r="28" customFormat="false" ht="15" hidden="false" customHeight="false" outlineLevel="0" collapsed="false">
      <c r="A28" s="2" t="s">
        <v>17</v>
      </c>
    </row>
    <row r="29" customFormat="false" ht="15" hidden="false" customHeight="false" outlineLevel="0" collapsed="false">
      <c r="A29" s="2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2026-08-13T13:48:17Z</dcterms:created>
  <dc:creator>openpyxl</dc:creator>
  <dc:description/>
  <dc:language>en-US</dc:language>
  <cp:lastModifiedBy/>
  <dcterms:modified xsi:type="dcterms:W3CDTF">2026-08-13T13:48:17Z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